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ales by Host" sheetId="1" state="visible" r:id="rId1"/>
  </sheets>
  <definedNames>
    <definedName name="_xlnm._FilterDatabase" localSheetId="0" hidden="1">'Sales by Host'!$A$1:$E$1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;&quot;($&quot;#,##0.00\);\-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i val="1"/>
      <color rgb="FF808080"/>
      <sz val="9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7" min="1" max="1"/>
    <col width="40" customWidth="1" style="7" min="2" max="2"/>
    <col width="14" customWidth="1" style="7" min="3" max="4"/>
    <col width="16" customWidth="1" style="7" min="5" max="5"/>
  </cols>
  <sheetData>
    <row r="1" ht="15" customHeight="1" s="8">
      <c r="A1" s="7" t="inlineStr">
        <is>
          <t>Reporting Period: 7/1/2098 thru 6/30/2099</t>
        </is>
      </c>
    </row>
    <row r="2" ht="15" customHeight="1" s="8">
      <c r="A2" s="9" t="inlineStr">
        <is>
          <t>Host Type</t>
        </is>
      </c>
      <c r="B2" s="9" t="inlineStr">
        <is>
          <t>Host</t>
        </is>
      </c>
      <c r="C2" s="9" t="inlineStr">
        <is>
          <t>Setup Count</t>
        </is>
      </c>
      <c r="D2" s="9" t="inlineStr">
        <is>
          <t>Attendance</t>
        </is>
      </c>
      <c r="E2" s="9" t="inlineStr">
        <is>
          <t>Gross Sales</t>
        </is>
      </c>
    </row>
    <row r="3" ht="15" customHeight="1" s="8">
      <c r="A3" s="10" t="inlineStr">
        <is>
          <t>University</t>
        </is>
      </c>
      <c r="B3" s="11" t="n"/>
      <c r="C3" s="11" t="n"/>
      <c r="D3" s="11" t="n"/>
      <c r="E3" s="11" t="n"/>
    </row>
    <row r="4" ht="15" customHeight="1" s="8">
      <c r="A4" s="11" t="n"/>
      <c r="B4" s="11" t="inlineStr">
        <is>
          <t>Desert Ridge University Alumni Association</t>
        </is>
      </c>
      <c r="C4" s="11" t="n">
        <v>87</v>
      </c>
      <c r="D4" s="11" t="n">
        <v>150</v>
      </c>
      <c r="E4" s="12" t="n">
        <v>4140.06</v>
      </c>
    </row>
    <row r="5" ht="15" customHeight="1" s="8">
      <c r="A5" s="11" t="n"/>
      <c r="B5" s="11" t="inlineStr">
        <is>
          <t>Desert Ridge University Career Services</t>
        </is>
      </c>
      <c r="C5" s="11" t="n">
        <v>91</v>
      </c>
      <c r="D5" s="11" t="n">
        <v>85</v>
      </c>
      <c r="E5" s="12" t="n">
        <v>4454.9</v>
      </c>
    </row>
    <row r="6" ht="15" customHeight="1" s="8">
      <c r="A6" s="11" t="n"/>
      <c r="B6" s="11" t="inlineStr">
        <is>
          <t>Desert Ridge University Center for Applied Research</t>
        </is>
      </c>
      <c r="C6" s="11" t="n">
        <v>92</v>
      </c>
      <c r="D6" s="11" t="n">
        <v>75</v>
      </c>
      <c r="E6" s="12" t="n">
        <v>5695.24</v>
      </c>
    </row>
    <row r="7" ht="15" customHeight="1" s="8">
      <c r="A7" s="11" t="n"/>
      <c r="B7" s="11" t="inlineStr">
        <is>
          <t>Desert Ridge University Enterprise Technology</t>
        </is>
      </c>
      <c r="C7" s="11" t="n">
        <v>143</v>
      </c>
      <c r="D7" s="11" t="n">
        <v>195</v>
      </c>
      <c r="E7" s="12" t="n">
        <v>7927.34</v>
      </c>
    </row>
    <row r="8" ht="15" customHeight="1" s="8">
      <c r="A8" s="11" t="n"/>
      <c r="B8" s="11" t="inlineStr">
        <is>
          <t>Desert Ridge University Foundation</t>
        </is>
      </c>
      <c r="C8" s="11" t="n">
        <v>170</v>
      </c>
      <c r="D8" s="11" t="n">
        <v>130</v>
      </c>
      <c r="E8" s="12" t="n">
        <v>5645.16</v>
      </c>
    </row>
    <row r="9" ht="15" customHeight="1" s="8">
      <c r="A9" s="11" t="n"/>
      <c r="B9" s="11" t="inlineStr">
        <is>
          <t>Desert Ridge University Global Programs Office</t>
        </is>
      </c>
      <c r="C9" s="11" t="n">
        <v>156</v>
      </c>
      <c r="D9" s="11" t="n">
        <v>140</v>
      </c>
      <c r="E9" s="12" t="n">
        <v>2684.41</v>
      </c>
    </row>
    <row r="10" ht="15" customHeight="1" s="8">
      <c r="A10" s="11" t="n"/>
      <c r="B10" s="11" t="inlineStr">
        <is>
          <t>Desert Ridge University Innovation Hub</t>
        </is>
      </c>
      <c r="C10" s="11" t="n">
        <v>167</v>
      </c>
      <c r="D10" s="11" t="n">
        <v>205</v>
      </c>
      <c r="E10" s="12" t="n">
        <v>11489.85</v>
      </c>
    </row>
    <row r="11" ht="15" customHeight="1" s="8">
      <c r="A11" s="11" t="n"/>
      <c r="B11" s="11" t="inlineStr">
        <is>
          <t>Desert Ridge University Office of the Provost</t>
        </is>
      </c>
      <c r="C11" s="11" t="n">
        <v>138</v>
      </c>
      <c r="D11" s="11" t="n">
        <v>185</v>
      </c>
      <c r="E11" s="12" t="n">
        <v>12242.28</v>
      </c>
    </row>
    <row r="12" ht="15" customHeight="1" s="8">
      <c r="A12" s="11" t="n"/>
      <c r="B12" s="11" t="inlineStr">
        <is>
          <t>Desert Ridge University School of Public Health</t>
        </is>
      </c>
      <c r="C12" s="11" t="n">
        <v>131</v>
      </c>
      <c r="D12" s="11" t="n">
        <v>225</v>
      </c>
      <c r="E12" s="12" t="n">
        <v>3976.3</v>
      </c>
    </row>
    <row r="13" ht="15" customHeight="1" s="8">
      <c r="A13" s="11" t="n"/>
      <c r="B13" s="11" t="inlineStr">
        <is>
          <t>Desert Ridge University Staff Council</t>
        </is>
      </c>
      <c r="C13" s="11" t="n">
        <v>145</v>
      </c>
      <c r="D13" s="11" t="n">
        <v>195</v>
      </c>
      <c r="E13" s="12" t="n">
        <v>6212.24</v>
      </c>
    </row>
    <row r="14" ht="15" customHeight="1" s="8">
      <c r="A14" s="11" t="n"/>
      <c r="B14" s="11" t="inlineStr">
        <is>
          <t>Desert Ridge University Student Engagement Office</t>
        </is>
      </c>
      <c r="C14" s="11" t="n">
        <v>218</v>
      </c>
      <c r="D14" s="11" t="n">
        <v>260</v>
      </c>
      <c r="E14" s="12" t="n">
        <v>10379.08</v>
      </c>
    </row>
    <row r="15" ht="15" customHeight="1" s="8">
      <c r="A15" s="11" t="n"/>
      <c r="B15" s="11" t="inlineStr">
        <is>
          <t>Desert Ridge University Sustainability Institute</t>
        </is>
      </c>
      <c r="C15" s="11" t="n">
        <v>114</v>
      </c>
      <c r="D15" s="11" t="n">
        <v>280</v>
      </c>
      <c r="E15" s="12" t="n">
        <v>8050.06</v>
      </c>
    </row>
    <row r="16" ht="15" customHeight="1" s="8">
      <c r="A16" s="11" t="n"/>
      <c r="B16" s="10" t="inlineStr">
        <is>
          <t>Total</t>
        </is>
      </c>
      <c r="C16" s="10">
        <f>SUM(C3:C14)</f>
        <v/>
      </c>
      <c r="D16" s="10">
        <f>SUM(D3:D14)</f>
        <v/>
      </c>
      <c r="E16" s="13">
        <f>SUM(E3:E14)</f>
        <v/>
      </c>
    </row>
    <row r="17" ht="15" customHeight="1" s="8">
      <c r="A17" s="10" t="inlineStr">
        <is>
          <t>External</t>
        </is>
      </c>
      <c r="B17" s="11" t="n"/>
      <c r="C17" s="11" t="n"/>
      <c r="D17" s="11" t="n"/>
      <c r="E17" s="11" t="n"/>
    </row>
    <row r="18" ht="15" customHeight="1" s="8">
      <c r="A18" s="11" t="n"/>
      <c r="B18" s="11" t="inlineStr">
        <is>
          <t>Amber Ridge Logistics</t>
        </is>
      </c>
      <c r="C18" s="11" t="n">
        <v>68</v>
      </c>
      <c r="D18" s="11" t="n">
        <v>45</v>
      </c>
      <c r="E18" s="12" t="n">
        <v>2020.57</v>
      </c>
    </row>
    <row r="19" ht="15" customHeight="1" s="8">
      <c r="A19" s="11" t="n"/>
      <c r="B19" s="11" t="inlineStr">
        <is>
          <t>Basecamp Learning Co.</t>
        </is>
      </c>
      <c r="C19" s="11" t="n">
        <v>66</v>
      </c>
      <c r="D19" s="11" t="n">
        <v>110</v>
      </c>
      <c r="E19" s="12" t="n">
        <v>5252.89</v>
      </c>
    </row>
    <row r="20" ht="15" customHeight="1" s="8">
      <c r="A20" s="11" t="n"/>
      <c r="B20" s="11" t="inlineStr">
        <is>
          <t>Beacon Financial Group</t>
        </is>
      </c>
      <c r="C20" s="11" t="n">
        <v>45</v>
      </c>
      <c r="D20" s="11" t="n">
        <v>75</v>
      </c>
      <c r="E20" s="12" t="n">
        <v>5566.7</v>
      </c>
    </row>
    <row r="21" ht="15" customHeight="1" s="8">
      <c r="A21" s="11" t="n"/>
      <c r="B21" s="11" t="inlineStr">
        <is>
          <t>BrightPath Consulting</t>
        </is>
      </c>
      <c r="C21" s="11" t="n">
        <v>120</v>
      </c>
      <c r="D21" s="11" t="n">
        <v>150</v>
      </c>
      <c r="E21" s="12" t="n">
        <v>14174.06</v>
      </c>
    </row>
    <row r="22" ht="15" customHeight="1" s="8">
      <c r="A22" s="11" t="n"/>
      <c r="B22" s="11" t="inlineStr">
        <is>
          <t>Cascade Robotics</t>
        </is>
      </c>
      <c r="C22" s="11" t="n">
        <v>51</v>
      </c>
      <c r="D22" s="11" t="n">
        <v>70</v>
      </c>
      <c r="E22" s="12" t="n">
        <v>5446.3</v>
      </c>
    </row>
    <row r="23" ht="15" customHeight="1" s="8">
      <c r="A23" s="11" t="n"/>
      <c r="B23" s="11" t="inlineStr">
        <is>
          <t>Cobalt Wireless</t>
        </is>
      </c>
      <c r="C23" s="11" t="n">
        <v>76</v>
      </c>
      <c r="D23" s="11" t="n">
        <v>115</v>
      </c>
      <c r="E23" s="12" t="n">
        <v>5296.24</v>
      </c>
    </row>
    <row r="24" ht="15" customHeight="1" s="8">
      <c r="A24" s="11" t="n"/>
      <c r="B24" s="11" t="inlineStr">
        <is>
          <t>Coyote Creek Ventures</t>
        </is>
      </c>
      <c r="C24" s="11" t="n">
        <v>83</v>
      </c>
      <c r="D24" s="11" t="n">
        <v>145</v>
      </c>
      <c r="E24" s="12" t="n">
        <v>12161.31</v>
      </c>
    </row>
    <row r="25" ht="15" customHeight="1" s="8">
      <c r="A25" s="11" t="n"/>
      <c r="B25" s="11" t="inlineStr">
        <is>
          <t>Falcon Point Technologies</t>
        </is>
      </c>
      <c r="C25" s="11" t="n">
        <v>53</v>
      </c>
      <c r="D25" s="11" t="n">
        <v>65</v>
      </c>
      <c r="E25" s="12" t="n">
        <v>6715.63</v>
      </c>
    </row>
    <row r="26" ht="15" customHeight="1" s="8">
      <c r="A26" s="11" t="n"/>
      <c r="B26" s="11" t="inlineStr">
        <is>
          <t>Golden Mesa Realty</t>
        </is>
      </c>
      <c r="C26" s="11" t="n">
        <v>61</v>
      </c>
      <c r="D26" s="11" t="n">
        <v>30</v>
      </c>
      <c r="E26" s="12" t="n">
        <v>9971.16</v>
      </c>
    </row>
    <row r="27" ht="15" customHeight="1" s="8">
      <c r="A27" s="11" t="n"/>
      <c r="B27" s="11" t="inlineStr">
        <is>
          <t>Harborview Capital</t>
        </is>
      </c>
      <c r="C27" s="11" t="n">
        <v>75</v>
      </c>
      <c r="D27" s="11" t="n">
        <v>55</v>
      </c>
      <c r="E27" s="12" t="n">
        <v>5821.71</v>
      </c>
    </row>
    <row r="28" ht="15" customHeight="1" s="8">
      <c r="A28" s="11" t="n"/>
      <c r="B28" s="11" t="inlineStr">
        <is>
          <t>Ironwood Talent Group</t>
        </is>
      </c>
      <c r="C28" s="11" t="n">
        <v>62</v>
      </c>
      <c r="D28" s="11" t="n">
        <v>140</v>
      </c>
      <c r="E28" s="12" t="n">
        <v>8862</v>
      </c>
    </row>
    <row r="29" ht="15" customHeight="1" s="8">
      <c r="A29" s="11" t="n"/>
      <c r="B29" s="11" t="inlineStr">
        <is>
          <t>Juniper Grove Foundation</t>
        </is>
      </c>
      <c r="C29" s="11" t="n">
        <v>79</v>
      </c>
      <c r="D29" s="11" t="n">
        <v>130</v>
      </c>
      <c r="E29" s="12" t="n">
        <v>9605.389999999999</v>
      </c>
    </row>
    <row r="30" ht="15" customHeight="1" s="8">
      <c r="A30" s="11" t="n"/>
      <c r="B30" s="11" t="inlineStr">
        <is>
          <t>Marlow &amp; Case LLP</t>
        </is>
      </c>
      <c r="C30" s="11" t="n">
        <v>80</v>
      </c>
      <c r="D30" s="11" t="n">
        <v>135</v>
      </c>
      <c r="E30" s="12" t="n">
        <v>9918.379999999999</v>
      </c>
    </row>
    <row r="31" ht="15" customHeight="1" s="8">
      <c r="A31" s="11" t="n"/>
      <c r="B31" s="11" t="inlineStr">
        <is>
          <t>Northgate Analytics</t>
        </is>
      </c>
      <c r="C31" s="11" t="n">
        <v>38</v>
      </c>
      <c r="D31" s="11" t="n">
        <v>10</v>
      </c>
      <c r="E31" s="12" t="n">
        <v>2724.63</v>
      </c>
    </row>
    <row r="32" ht="15" customHeight="1" s="8">
      <c r="A32" s="11" t="n"/>
      <c r="B32" s="11" t="inlineStr">
        <is>
          <t>Pinnacle Health Partners</t>
        </is>
      </c>
      <c r="C32" s="11" t="n">
        <v>103</v>
      </c>
      <c r="D32" s="11" t="n">
        <v>140</v>
      </c>
      <c r="E32" s="12" t="n">
        <v>14115.72</v>
      </c>
    </row>
    <row r="33" ht="15" customHeight="1" s="8">
      <c r="A33" s="11" t="n"/>
      <c r="B33" s="11" t="inlineStr">
        <is>
          <t>Redwood Data Systems</t>
        </is>
      </c>
      <c r="C33" s="11" t="n">
        <v>51</v>
      </c>
      <c r="D33" s="11" t="n">
        <v>125</v>
      </c>
      <c r="E33" s="12" t="n">
        <v>14586.93</v>
      </c>
    </row>
    <row r="34" ht="15" customHeight="1" s="8">
      <c r="A34" s="11" t="n"/>
      <c r="B34" s="11" t="inlineStr">
        <is>
          <t>Silverline Software</t>
        </is>
      </c>
      <c r="C34" s="11" t="n">
        <v>63</v>
      </c>
      <c r="D34" s="11" t="n">
        <v>60</v>
      </c>
      <c r="E34" s="12" t="n">
        <v>7901.86</v>
      </c>
    </row>
    <row r="35" ht="15" customHeight="1" s="8">
      <c r="A35" s="11" t="n"/>
      <c r="B35" s="11" t="inlineStr">
        <is>
          <t>Solara Energy Partners</t>
        </is>
      </c>
      <c r="C35" s="11" t="n">
        <v>48</v>
      </c>
      <c r="D35" s="11" t="n">
        <v>70</v>
      </c>
      <c r="E35" s="12" t="n">
        <v>6012.63</v>
      </c>
    </row>
    <row r="36" ht="15" customHeight="1" s="8">
      <c r="A36" s="11" t="n"/>
      <c r="B36" s="11" t="inlineStr">
        <is>
          <t>True North Media</t>
        </is>
      </c>
      <c r="C36" s="11" t="n">
        <v>45</v>
      </c>
      <c r="D36" s="11" t="n">
        <v>95</v>
      </c>
      <c r="E36" s="12" t="n">
        <v>5294.14</v>
      </c>
    </row>
    <row r="37" ht="15" customHeight="1" s="8">
      <c r="A37" s="11" t="n"/>
      <c r="B37" s="11" t="inlineStr">
        <is>
          <t>Vertex Biosciences</t>
        </is>
      </c>
      <c r="C37" s="11" t="n">
        <v>81</v>
      </c>
      <c r="D37" s="11" t="n">
        <v>100</v>
      </c>
      <c r="E37" s="12" t="n">
        <v>5591.68</v>
      </c>
    </row>
    <row r="38">
      <c r="A38" s="11" t="n"/>
      <c r="B38" s="10" t="inlineStr">
        <is>
          <t>Total</t>
        </is>
      </c>
      <c r="C38" s="10">
        <f>SUM(C17:C36)</f>
        <v/>
      </c>
      <c r="D38" s="10">
        <f>SUM(D17:D36)</f>
        <v/>
      </c>
      <c r="E38" s="13">
        <f>SUM(E17:E36)</f>
        <v/>
      </c>
    </row>
    <row r="39" ht="15" customHeight="1" s="8"/>
    <row r="40">
      <c r="A40" s="10" t="inlineStr">
        <is>
          <t>Grand Total</t>
        </is>
      </c>
      <c r="C40" s="10">
        <f>C15+C37</f>
        <v/>
      </c>
      <c r="D40" s="10">
        <f>D15+D37</f>
        <v/>
      </c>
      <c r="E40" s="13">
        <f>E15+E37</f>
        <v/>
      </c>
    </row>
    <row r="41" ht="15" customHeight="1" s="8"/>
    <row r="42">
      <c r="A42" s="14" t="inlineStr">
        <is>
          <t>SAMPLE / FABRICATED DATA — generated for demo purposes only. All hosts and dollar amounts are fictitious.</t>
        </is>
      </c>
    </row>
  </sheetData>
  <autoFilter ref="A1:E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2026-09-07T21:50:00Z</dcterms:created>
  <dcterms:modified xsi:type="dcterms:W3CDTF">2026-09-07T22:07:51Z</dcterms:modified>
  <cp:revision>0</cp:revision>
</cp:coreProperties>
</file>